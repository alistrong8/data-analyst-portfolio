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_Model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<sst xmlns="http://schemas.openxmlformats.org/spreadsheetml/2006/main" count="44" uniqueCount="44">
  <si>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Month</t>
  </si>
  <si>
    <t>Revenue</t>
  </si>
  <si>
    <t>COGS</t>
  </si>
  <si>
    <t>OpEx</t>
  </si>
  <si>
    <t>NetIncome</t>
  </si>
  <si>
    <t>BudgetedRevenue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</si>
  <si>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</si>
  <si>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</si>
  <si>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</si>
  <si>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</si>
  <si>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</si>
  <si>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</si>
  <si>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</si>
  <si>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</si>
  <si>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</si>
  <si>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</si>
  <si>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</si>
  <si>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</si>
  <si>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</si>
  <si>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</si>
  <si>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</si>
  <si>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</si>
  <si>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</si>
  <si>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</si>
  <si>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</si>
  <si>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</si>
  <si>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</si>
  <si>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</si>
  <si>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</si>
  <si>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</si>
  <si>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</si>
  <si>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</si>
  <si>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</si>
  <si>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</si>
  <si>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</si>
  <si>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</si>
  <si>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</si>
  <si>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</si>
  <si>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</si>
  <si>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</si>
  <si>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</si>
  <si>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</si>
  <si>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Variance (Act vs Bud)</t>
  </si>
  <si>
    <t>Variance %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</si>
</sst>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42</v>
      </c>
      <c r="H1" s="2" t="s">
        <v>43</v>
      </c>
    </row>
    <row r="2" spans="1:8">
      <c r="A2" t="s">
        <v>6</v>
      </c>
      <c r="B2">
        <v>50861.17</v>
      </c>
      <c r="C2">
        <v>20344.47</v>
      </c>
      <c r="D2">
        <v>15000</v>
      </c>
      <c r="E2">
        <v>15516.7</v>
      </c>
      <c r="F2">
        <v>45829.36</v>
      </c>
      <c r="G2" s="3">
        <f>B2-F2</f>
        <v>0</v>
      </c>
      <c r="H2" s="4">
        <f>(B2-F2)/F2</f>
        <v>0</v>
      </c>
    </row>
    <row r="3" spans="1:8">
      <c r="A3" t="s">
        <v>7</v>
      </c>
      <c r="B3">
        <v>53472.84</v>
      </c>
      <c r="C3">
        <v>21389.14</v>
      </c>
      <c r="D3">
        <v>15200</v>
      </c>
      <c r="E3">
        <v>16883.71</v>
      </c>
      <c r="F3">
        <v>57513.6</v>
      </c>
      <c r="G3" s="3">
        <f>B3-F3</f>
        <v>0</v>
      </c>
      <c r="H3" s="4">
        <f>(B3-F3)/F3</f>
        <v>0</v>
      </c>
    </row>
    <row r="4" spans="1:8">
      <c r="A4" t="s">
        <v>8</v>
      </c>
      <c r="B4">
        <v>54054.55</v>
      </c>
      <c r="C4">
        <v>21621.82</v>
      </c>
      <c r="D4">
        <v>15400</v>
      </c>
      <c r="E4">
        <v>17032.73</v>
      </c>
      <c r="F4">
        <v>55776.13</v>
      </c>
      <c r="G4" s="3">
        <f>B4-F4</f>
        <v>0</v>
      </c>
      <c r="H4" s="4">
        <f>(B4-F4)/F4</f>
        <v>0</v>
      </c>
    </row>
    <row r="5" spans="1:8">
      <c r="A5" t="s">
        <v>9</v>
      </c>
      <c r="B5">
        <v>52177.37</v>
      </c>
      <c r="C5">
        <v>20870.95</v>
      </c>
      <c r="D5">
        <v>15600</v>
      </c>
      <c r="E5">
        <v>15706.42</v>
      </c>
      <c r="F5">
        <v>56285.28</v>
      </c>
      <c r="G5" s="3">
        <f>B5-F5</f>
        <v>0</v>
      </c>
      <c r="H5" s="4">
        <f>(B5-F5)/F5</f>
        <v>0</v>
      </c>
    </row>
    <row r="6" spans="1:8">
      <c r="A6" t="s">
        <v>10</v>
      </c>
      <c r="B6">
        <v>52874.19</v>
      </c>
      <c r="C6">
        <v>21149.68</v>
      </c>
      <c r="D6">
        <v>15800</v>
      </c>
      <c r="E6">
        <v>15924.51</v>
      </c>
      <c r="F6">
        <v>53537.36</v>
      </c>
      <c r="G6" s="3">
        <f>B6-F6</f>
        <v>0</v>
      </c>
      <c r="H6" s="4">
        <f>(B6-F6)/F6</f>
        <v>0</v>
      </c>
    </row>
    <row r="7" spans="1:8">
      <c r="A7" t="s">
        <v>11</v>
      </c>
      <c r="B7">
        <v>52798.52</v>
      </c>
      <c r="C7">
        <v>21119.41</v>
      </c>
      <c r="D7">
        <v>16000</v>
      </c>
      <c r="E7">
        <v>15679.11</v>
      </c>
      <c r="F7">
        <v>57254.25</v>
      </c>
      <c r="G7" s="3">
        <f>B7-F7</f>
        <v>0</v>
      </c>
      <c r="H7" s="4">
        <f>(B7-F7)/F7</f>
        <v>0</v>
      </c>
    </row>
    <row r="8" spans="1:8">
      <c r="A8" t="s">
        <v>12</v>
      </c>
      <c r="B8">
        <v>53988.31</v>
      </c>
      <c r="C8">
        <v>21595.33</v>
      </c>
      <c r="D8">
        <v>16200</v>
      </c>
      <c r="E8">
        <v>16192.99</v>
      </c>
      <c r="F8">
        <v>51017.84</v>
      </c>
      <c r="G8" s="3">
        <f>B8-F8</f>
        <v>0</v>
      </c>
      <c r="H8" s="4">
        <f>(B8-F8)/F8</f>
        <v>0</v>
      </c>
    </row>
    <row r="9" spans="1:8">
      <c r="A9" t="s">
        <v>13</v>
      </c>
      <c r="B9">
        <v>57331.36</v>
      </c>
      <c r="C9">
        <v>22932.55</v>
      </c>
      <c r="D9">
        <v>16400</v>
      </c>
      <c r="E9">
        <v>17998.82</v>
      </c>
      <c r="F9">
        <v>60359.53</v>
      </c>
      <c r="G9" s="3">
        <f>B9-F9</f>
        <v>0</v>
      </c>
      <c r="H9" s="4">
        <f>(B9-F9)/F9</f>
        <v>0</v>
      </c>
    </row>
    <row r="10" spans="1:8">
      <c r="A10" t="s">
        <v>14</v>
      </c>
      <c r="B10">
        <v>58692.24</v>
      </c>
      <c r="C10">
        <v>23476.9</v>
      </c>
      <c r="D10">
        <v>16600</v>
      </c>
      <c r="E10">
        <v>18615.34</v>
      </c>
      <c r="F10">
        <v>55547.91</v>
      </c>
      <c r="G10" s="3">
        <f>B10-F10</f>
        <v>0</v>
      </c>
      <c r="H10" s="4">
        <f>(B10-F10)/F10</f>
        <v>0</v>
      </c>
    </row>
    <row r="11" spans="1:8">
      <c r="A11" t="s">
        <v>15</v>
      </c>
      <c r="B11">
        <v>56055.56</v>
      </c>
      <c r="C11">
        <v>22422.23</v>
      </c>
      <c r="D11">
        <v>16800</v>
      </c>
      <c r="E11">
        <v>16833.34</v>
      </c>
      <c r="F11">
        <v>58938.51</v>
      </c>
      <c r="G11" s="3">
        <f>B11-F11</f>
        <v>0</v>
      </c>
      <c r="H11" s="4">
        <f>(B11-F11)/F11</f>
        <v>0</v>
      </c>
    </row>
    <row r="12" spans="1:8">
      <c r="A12" t="s">
        <v>16</v>
      </c>
      <c r="B12">
        <v>62911.24</v>
      </c>
      <c r="C12">
        <v>25164.5</v>
      </c>
      <c r="D12">
        <v>17000</v>
      </c>
      <c r="E12">
        <v>20746.75</v>
      </c>
      <c r="F12">
        <v>66810.64999999999</v>
      </c>
      <c r="G12" s="3">
        <f>B12-F12</f>
        <v>0</v>
      </c>
      <c r="H12" s="4">
        <f>(B12-F12)/F12</f>
        <v>0</v>
      </c>
    </row>
    <row r="13" spans="1:8">
      <c r="A13" t="s">
        <v>17</v>
      </c>
      <c r="B13">
        <v>72908.71000000001</v>
      </c>
      <c r="C13">
        <v>29163.48</v>
      </c>
      <c r="D13">
        <v>17200</v>
      </c>
      <c r="E13">
        <v>26545.23</v>
      </c>
      <c r="F13">
        <v>78796.34</v>
      </c>
      <c r="G13" s="3">
        <f>B13-F13</f>
        <v>0</v>
      </c>
      <c r="H13" s="4">
        <f>(B13-F13)/F13</f>
        <v>0</v>
      </c>
    </row>
    <row r="14" spans="1:8">
      <c r="A14" t="s">
        <v>18</v>
      </c>
      <c r="B14">
        <v>61441.06</v>
      </c>
      <c r="C14">
        <v>24576.42</v>
      </c>
      <c r="D14">
        <v>17400</v>
      </c>
      <c r="E14">
        <v>19464.63</v>
      </c>
      <c r="F14">
        <v>61747.45</v>
      </c>
      <c r="G14" s="3">
        <f>B14-F14</f>
        <v>0</v>
      </c>
      <c r="H14" s="4">
        <f>(B14-F14)/F14</f>
        <v>0</v>
      </c>
    </row>
    <row r="15" spans="1:8">
      <c r="A15" t="s">
        <v>19</v>
      </c>
      <c r="B15">
        <v>62855.92</v>
      </c>
      <c r="C15">
        <v>25142.37</v>
      </c>
      <c r="D15">
        <v>17600</v>
      </c>
      <c r="E15">
        <v>20113.55</v>
      </c>
      <c r="F15">
        <v>62197.49</v>
      </c>
      <c r="G15" s="3">
        <f>B15-F15</f>
        <v>0</v>
      </c>
      <c r="H15" s="4">
        <f>(B15-F15)/F15</f>
        <v>0</v>
      </c>
    </row>
    <row r="16" spans="1:8">
      <c r="A16" t="s">
        <v>20</v>
      </c>
      <c r="B16">
        <v>65761.22</v>
      </c>
      <c r="C16">
        <v>26304.49</v>
      </c>
      <c r="D16">
        <v>17800</v>
      </c>
      <c r="E16">
        <v>21656.73</v>
      </c>
      <c r="F16">
        <v>66113.28999999999</v>
      </c>
      <c r="G16" s="3">
        <f>B16-F16</f>
        <v>0</v>
      </c>
      <c r="H16" s="4">
        <f>(B16-F16)/F16</f>
        <v>0</v>
      </c>
    </row>
    <row r="17" spans="1:8">
      <c r="A17" t="s">
        <v>21</v>
      </c>
      <c r="B17">
        <v>63808.66</v>
      </c>
      <c r="C17">
        <v>25523.46</v>
      </c>
      <c r="D17">
        <v>18000</v>
      </c>
      <c r="E17">
        <v>20285.2</v>
      </c>
      <c r="F17">
        <v>60722.34</v>
      </c>
      <c r="G17" s="3">
        <f>B17-F17</f>
        <v>0</v>
      </c>
      <c r="H17" s="4">
        <f>(B17-F17)/F17</f>
        <v>0</v>
      </c>
    </row>
    <row r="18" spans="1:8">
      <c r="A18" t="s">
        <v>22</v>
      </c>
      <c r="B18">
        <v>62949.13</v>
      </c>
      <c r="C18">
        <v>25179.65</v>
      </c>
      <c r="D18">
        <v>18200</v>
      </c>
      <c r="E18">
        <v>19569.48</v>
      </c>
      <c r="F18">
        <v>63996.54</v>
      </c>
      <c r="G18" s="3">
        <f>B18-F18</f>
        <v>0</v>
      </c>
      <c r="H18" s="4">
        <f>(B18-F18)/F18</f>
        <v>0</v>
      </c>
    </row>
    <row r="19" spans="1:8">
      <c r="A19" t="s">
        <v>23</v>
      </c>
      <c r="B19">
        <v>65190.74</v>
      </c>
      <c r="C19">
        <v>26076.3</v>
      </c>
      <c r="D19">
        <v>18400</v>
      </c>
      <c r="E19">
        <v>20714.44</v>
      </c>
      <c r="F19">
        <v>60603.06</v>
      </c>
      <c r="G19" s="3">
        <f>B19-F19</f>
        <v>0</v>
      </c>
      <c r="H19" s="4">
        <f>(B19-F19)/F19</f>
        <v>0</v>
      </c>
    </row>
    <row r="20" spans="1:8">
      <c r="A20" t="s">
        <v>24</v>
      </c>
      <c r="B20">
        <v>69046.03999999999</v>
      </c>
      <c r="C20">
        <v>27618.42</v>
      </c>
      <c r="D20">
        <v>18600</v>
      </c>
      <c r="E20">
        <v>22827.63</v>
      </c>
      <c r="F20">
        <v>71548.39999999999</v>
      </c>
      <c r="G20" s="3">
        <f>B20-F20</f>
        <v>0</v>
      </c>
      <c r="H20" s="4">
        <f>(B20-F20)/F20</f>
        <v>0</v>
      </c>
    </row>
    <row r="21" spans="1:8">
      <c r="A21" t="s">
        <v>25</v>
      </c>
      <c r="B21">
        <v>70739.87</v>
      </c>
      <c r="C21">
        <v>28295.95</v>
      </c>
      <c r="D21">
        <v>18800</v>
      </c>
      <c r="E21">
        <v>23643.92</v>
      </c>
      <c r="F21">
        <v>70790.47</v>
      </c>
      <c r="G21" s="3">
        <f>B21-F21</f>
        <v>0</v>
      </c>
      <c r="H21" s="4">
        <f>(B21-F21)/F21</f>
        <v>0</v>
      </c>
    </row>
    <row r="22" spans="1:8">
      <c r="A22" t="s">
        <v>26</v>
      </c>
      <c r="B22">
        <v>72758.38</v>
      </c>
      <c r="C22">
        <v>29103.35</v>
      </c>
      <c r="D22">
        <v>19000</v>
      </c>
      <c r="E22">
        <v>24655.03</v>
      </c>
      <c r="F22">
        <v>79107.89999999999</v>
      </c>
      <c r="G22" s="3">
        <f>B22-F22</f>
        <v>0</v>
      </c>
      <c r="H22" s="4">
        <f>(B22-F22)/F22</f>
        <v>0</v>
      </c>
    </row>
    <row r="23" spans="1:8">
      <c r="A23" t="s">
        <v>27</v>
      </c>
      <c r="B23">
        <v>73182.33</v>
      </c>
      <c r="C23">
        <v>29272.93</v>
      </c>
      <c r="D23">
        <v>19200</v>
      </c>
      <c r="E23">
        <v>24709.4</v>
      </c>
      <c r="F23">
        <v>75166.94</v>
      </c>
      <c r="G23" s="3">
        <f>B23-F23</f>
        <v>0</v>
      </c>
      <c r="H23" s="4">
        <f>(B23-F23)/F23</f>
        <v>0</v>
      </c>
    </row>
    <row r="24" spans="1:8">
      <c r="A24" t="s">
        <v>28</v>
      </c>
      <c r="B24">
        <v>70586.78999999999</v>
      </c>
      <c r="C24">
        <v>28234.72</v>
      </c>
      <c r="D24">
        <v>19400</v>
      </c>
      <c r="E24">
        <v>22952.07</v>
      </c>
      <c r="F24">
        <v>77404.7</v>
      </c>
      <c r="G24" s="3">
        <f>B24-F24</f>
        <v>0</v>
      </c>
      <c r="H24" s="4">
        <f>(B24-F24)/F24</f>
        <v>0</v>
      </c>
    </row>
    <row r="25" spans="1:8">
      <c r="A25" t="s">
        <v>29</v>
      </c>
      <c r="B25">
        <v>85621.42999999999</v>
      </c>
      <c r="C25">
        <v>34248.57</v>
      </c>
      <c r="D25">
        <v>19600</v>
      </c>
      <c r="E25">
        <v>31772.86</v>
      </c>
      <c r="F25">
        <v>80529.64</v>
      </c>
      <c r="G25" s="3">
        <f>B25-F25</f>
        <v>0</v>
      </c>
      <c r="H25" s="4">
        <f>(B25-F25)/F25</f>
        <v>0</v>
      </c>
    </row>
    <row r="26" spans="1:8">
      <c r="A26" t="s">
        <v>30</v>
      </c>
      <c r="B26">
        <v>73571.94</v>
      </c>
      <c r="C26">
        <v>29428.78</v>
      </c>
      <c r="D26">
        <v>19800</v>
      </c>
      <c r="E26">
        <v>24343.16</v>
      </c>
      <c r="F26">
        <v>67051.12</v>
      </c>
      <c r="G26" s="3">
        <f>B26-F26</f>
        <v>0</v>
      </c>
      <c r="H26" s="4">
        <f>(B26-F26)/F26</f>
        <v>0</v>
      </c>
    </row>
    <row r="27" spans="1:8">
      <c r="A27" t="s">
        <v>31</v>
      </c>
      <c r="B27">
        <v>78588.71000000001</v>
      </c>
      <c r="C27">
        <v>31435.48</v>
      </c>
      <c r="D27">
        <v>20000</v>
      </c>
      <c r="E27">
        <v>27153.23</v>
      </c>
      <c r="F27">
        <v>79978.67999999999</v>
      </c>
      <c r="G27" s="3">
        <f>B27-F27</f>
        <v>0</v>
      </c>
      <c r="H27" s="4">
        <f>(B27-F27)/F27</f>
        <v>0</v>
      </c>
    </row>
    <row r="28" spans="1:8">
      <c r="A28" t="s">
        <v>32</v>
      </c>
      <c r="B28">
        <v>76432.84</v>
      </c>
      <c r="C28">
        <v>30573.13</v>
      </c>
      <c r="D28">
        <v>20200</v>
      </c>
      <c r="E28">
        <v>25659.7</v>
      </c>
      <c r="F28">
        <v>78814.42999999999</v>
      </c>
      <c r="G28" s="3">
        <f>B28-F28</f>
        <v>0</v>
      </c>
      <c r="H28" s="4">
        <f>(B28-F28)/F28</f>
        <v>0</v>
      </c>
    </row>
    <row r="29" spans="1:8">
      <c r="A29" t="s">
        <v>33</v>
      </c>
      <c r="B29">
        <v>76977.08</v>
      </c>
      <c r="C29">
        <v>30790.83</v>
      </c>
      <c r="D29">
        <v>20400</v>
      </c>
      <c r="E29">
        <v>25786.25</v>
      </c>
      <c r="F29">
        <v>69773.00999999999</v>
      </c>
      <c r="G29" s="3">
        <f>B29-F29</f>
        <v>0</v>
      </c>
      <c r="H29" s="4">
        <f>(B29-F29)/F29</f>
        <v>0</v>
      </c>
    </row>
    <row r="30" spans="1:8">
      <c r="A30" t="s">
        <v>34</v>
      </c>
      <c r="B30">
        <v>78876.03</v>
      </c>
      <c r="C30">
        <v>31550.41</v>
      </c>
      <c r="D30">
        <v>20600</v>
      </c>
      <c r="E30">
        <v>26725.62</v>
      </c>
      <c r="F30">
        <v>82286.22</v>
      </c>
      <c r="G30" s="3">
        <f>B30-F30</f>
        <v>0</v>
      </c>
      <c r="H30" s="4">
        <f>(B30-F30)/F30</f>
        <v>0</v>
      </c>
    </row>
    <row r="31" spans="1:8">
      <c r="A31" t="s">
        <v>35</v>
      </c>
      <c r="B31">
        <v>78342.32000000001</v>
      </c>
      <c r="C31">
        <v>31336.93</v>
      </c>
      <c r="D31">
        <v>20800</v>
      </c>
      <c r="E31">
        <v>26205.39</v>
      </c>
      <c r="F31">
        <v>82373.74000000001</v>
      </c>
      <c r="G31" s="3">
        <f>B31-F31</f>
        <v>0</v>
      </c>
      <c r="H31" s="4">
        <f>(B31-F31)/F31</f>
        <v>0</v>
      </c>
    </row>
    <row r="32" spans="1:8">
      <c r="A32" t="s">
        <v>36</v>
      </c>
      <c r="B32">
        <v>77816.00999999999</v>
      </c>
      <c r="C32">
        <v>31126.4</v>
      </c>
      <c r="D32">
        <v>21000</v>
      </c>
      <c r="E32">
        <v>25689.61</v>
      </c>
      <c r="F32">
        <v>73478.17999999999</v>
      </c>
      <c r="G32" s="3">
        <f>B32-F32</f>
        <v>0</v>
      </c>
      <c r="H32" s="4">
        <f>(B32-F32)/F32</f>
        <v>0</v>
      </c>
    </row>
    <row r="33" spans="1:8">
      <c r="A33" t="s">
        <v>37</v>
      </c>
      <c r="B33">
        <v>78257.48</v>
      </c>
      <c r="C33">
        <v>31302.99</v>
      </c>
      <c r="D33">
        <v>21200</v>
      </c>
      <c r="E33">
        <v>25754.49</v>
      </c>
      <c r="F33">
        <v>76254</v>
      </c>
      <c r="G33" s="3">
        <f>B33-F33</f>
        <v>0</v>
      </c>
      <c r="H33" s="4">
        <f>(B33-F33)/F33</f>
        <v>0</v>
      </c>
    </row>
    <row r="34" spans="1:8">
      <c r="A34" t="s">
        <v>38</v>
      </c>
      <c r="B34">
        <v>84845.5</v>
      </c>
      <c r="C34">
        <v>33938.2</v>
      </c>
      <c r="D34">
        <v>21400</v>
      </c>
      <c r="E34">
        <v>29507.3</v>
      </c>
      <c r="F34">
        <v>90409.87</v>
      </c>
      <c r="G34" s="3">
        <f>B34-F34</f>
        <v>0</v>
      </c>
      <c r="H34" s="4">
        <f>(B34-F34)/F34</f>
        <v>0</v>
      </c>
    </row>
    <row r="35" spans="1:8">
      <c r="A35" t="s">
        <v>39</v>
      </c>
      <c r="B35">
        <v>82027.44</v>
      </c>
      <c r="C35">
        <v>32810.98</v>
      </c>
      <c r="D35">
        <v>21600</v>
      </c>
      <c r="E35">
        <v>27616.46</v>
      </c>
      <c r="F35">
        <v>83489.48</v>
      </c>
      <c r="G35" s="3">
        <f>B35-F35</f>
        <v>0</v>
      </c>
      <c r="H35" s="4">
        <f>(B35-F35)/F35</f>
        <v>0</v>
      </c>
    </row>
    <row r="36" spans="1:8">
      <c r="A36" t="s">
        <v>40</v>
      </c>
      <c r="B36">
        <v>85854.86</v>
      </c>
      <c r="C36">
        <v>34341.94</v>
      </c>
      <c r="D36">
        <v>21800</v>
      </c>
      <c r="E36">
        <v>29712.91</v>
      </c>
      <c r="F36">
        <v>81411.13</v>
      </c>
      <c r="G36" s="3">
        <f>B36-F36</f>
        <v>0</v>
      </c>
      <c r="H36" s="4">
        <f>(B36-F36)/F36</f>
        <v>0</v>
      </c>
    </row>
    <row r="37" spans="1:8">
      <c r="A37" t="s">
        <v>41</v>
      </c>
      <c r="B37">
        <v>98615.03999999999</v>
      </c>
      <c r="C37">
        <v>39446.02</v>
      </c>
      <c r="D37">
        <v>22000</v>
      </c>
      <c r="E37">
        <v>37169.02</v>
      </c>
      <c r="F37">
        <v>107926.19</v>
      </c>
      <c r="G37" s="3">
        <f>B37-F37</f>
        <v>0</v>
      </c>
      <c r="H37" s="4">
        <f>(B37-F37)/F37</f>
        <v>0</v>
      </c>
    </row>
  </sheetData>
  <conditionalFormatting sqref="G2:G37">
    <cfRule type="cellIs" dxfId="0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2026-02-03T15:02:53Z</dcterms:created>
  <dcterms:modified xsi:type="dcterms:W3CDTF">2026-02-03T15:02:53Z</dcterms:modified>
</cp:coreProperties>
</file>